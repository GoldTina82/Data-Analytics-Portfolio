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3816afd1da8291/Projects Analysis - Εργασια και Βιογραφικο SOS/"/>
    </mc:Choice>
  </mc:AlternateContent>
  <xr:revisionPtr revIDLastSave="312" documentId="8_{5EC69ADC-E682-A944-8F1A-4A44F123CBDE}" xr6:coauthVersionLast="47" xr6:coauthVersionMax="47" xr10:uidLastSave="{C4514799-A21C-4E71-8611-8CEA37CB1C8D}"/>
  <bookViews>
    <workbookView xWindow="-108" yWindow="-108" windowWidth="23256" windowHeight="12456" activeTab="3" xr2:uid="{00000000-000D-0000-FFFF-FFFF00000000}"/>
  </bookViews>
  <sheets>
    <sheet name="Cash Flow Data" sheetId="1" r:id="rId1"/>
    <sheet name="Pivots" sheetId="4" r:id="rId2"/>
    <sheet name="Dashboard" sheetId="2" r:id="rId3"/>
    <sheet name="Project Notes" sheetId="3" r:id="rId4"/>
  </sheets>
  <calcPr calcId="191028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C7" i="2"/>
  <c r="A7" i="2"/>
  <c r="G4" i="2"/>
  <c r="E4" i="2" a="1"/>
  <c r="E4" i="2" s="1"/>
  <c r="C4" i="2"/>
  <c r="F3" i="1"/>
  <c r="A4" i="2"/>
  <c r="H2" i="1"/>
  <c r="H3" i="1" s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I2" i="1" l="1"/>
  <c r="F4" i="1"/>
  <c r="H4" i="1" s="1"/>
  <c r="I3" i="1" l="1"/>
  <c r="F5" i="1"/>
  <c r="H5" i="1" s="1"/>
  <c r="I4" i="1" l="1"/>
  <c r="F6" i="1"/>
  <c r="H6" i="1" s="1"/>
  <c r="I5" i="1" l="1"/>
  <c r="F7" i="1"/>
  <c r="H7" i="1" s="1"/>
  <c r="F8" i="1" l="1"/>
  <c r="H8" i="1" s="1"/>
  <c r="I6" i="1"/>
  <c r="F9" i="1" l="1"/>
  <c r="H9" i="1" s="1"/>
  <c r="I7" i="1"/>
  <c r="F10" i="1" l="1"/>
  <c r="H10" i="1" s="1"/>
  <c r="I8" i="1"/>
  <c r="F11" i="1" l="1"/>
  <c r="H11" i="1" s="1"/>
  <c r="I9" i="1"/>
  <c r="I10" i="1" l="1"/>
  <c r="F12" i="1"/>
  <c r="H12" i="1" s="1"/>
  <c r="I11" i="1" l="1"/>
  <c r="F13" i="1"/>
  <c r="H13" i="1" s="1"/>
  <c r="I12" i="1" l="1"/>
  <c r="F14" i="1"/>
  <c r="H14" i="1" s="1"/>
  <c r="I13" i="1" l="1"/>
  <c r="F15" i="1"/>
  <c r="H15" i="1" s="1"/>
  <c r="F16" i="1" l="1"/>
  <c r="H16" i="1" s="1"/>
  <c r="I14" i="1"/>
  <c r="F17" i="1" l="1"/>
  <c r="H17" i="1" s="1"/>
  <c r="I15" i="1"/>
  <c r="I16" i="1" l="1"/>
  <c r="F18" i="1"/>
  <c r="H18" i="1" s="1"/>
  <c r="I17" i="1" l="1"/>
  <c r="F19" i="1"/>
  <c r="H19" i="1" s="1"/>
  <c r="F20" i="1" l="1"/>
  <c r="H20" i="1" s="1"/>
  <c r="I18" i="1"/>
  <c r="F21" i="1" l="1"/>
  <c r="H21" i="1" s="1"/>
  <c r="I19" i="1"/>
  <c r="F22" i="1" l="1"/>
  <c r="H22" i="1" s="1"/>
  <c r="I20" i="1"/>
  <c r="I21" i="1" l="1"/>
  <c r="F23" i="1"/>
  <c r="H23" i="1" s="1"/>
  <c r="F24" i="1" l="1"/>
  <c r="H24" i="1" s="1"/>
  <c r="I22" i="1"/>
  <c r="F25" i="1" l="1"/>
  <c r="H25" i="1" s="1"/>
  <c r="I23" i="1"/>
  <c r="F26" i="1" l="1"/>
  <c r="H26" i="1" s="1"/>
  <c r="I24" i="1"/>
  <c r="F27" i="1" l="1"/>
  <c r="H27" i="1" s="1"/>
  <c r="I25" i="1"/>
  <c r="I26" i="1" l="1"/>
  <c r="F28" i="1"/>
  <c r="H28" i="1" s="1"/>
  <c r="I27" i="1" l="1"/>
  <c r="F29" i="1"/>
  <c r="H29" i="1" s="1"/>
  <c r="I28" i="1" l="1"/>
  <c r="F30" i="1"/>
  <c r="H30" i="1" s="1"/>
  <c r="I29" i="1" l="1"/>
  <c r="F31" i="1"/>
  <c r="H31" i="1" s="1"/>
  <c r="I30" i="1" l="1"/>
  <c r="I3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<sst xmlns="http://schemas.openxmlformats.org/spreadsheetml/2006/main" count="95" uniqueCount="51">
  <si>
    <t>Date</t>
  </si>
  <si>
    <t>Description</t>
  </si>
  <si>
    <t>Category</t>
  </si>
  <si>
    <t>Cash In</t>
  </si>
  <si>
    <t>Cash Out</t>
  </si>
  <si>
    <t>Opening Balance</t>
  </si>
  <si>
    <t>Net Cash Flow</t>
  </si>
  <si>
    <t>Closing Balance</t>
  </si>
  <si>
    <t>Status</t>
  </si>
  <si>
    <t>Opening cash position</t>
  </si>
  <si>
    <t>Customer receipt - Retail Clients</t>
  </si>
  <si>
    <t>Receivables</t>
  </si>
  <si>
    <t>Supplier payment - Packaging</t>
  </si>
  <si>
    <t>Suppliers</t>
  </si>
  <si>
    <t>Customer receipt - Wholesale</t>
  </si>
  <si>
    <t>Payroll payment</t>
  </si>
  <si>
    <t>Payroll</t>
  </si>
  <si>
    <t>Bank loan installment</t>
  </si>
  <si>
    <t>Loans</t>
  </si>
  <si>
    <t>Customer receipt - Export Client</t>
  </si>
  <si>
    <t>Supplier payment - Raw Materials</t>
  </si>
  <si>
    <t>Utilities payment</t>
  </si>
  <si>
    <t>Operating Expenses</t>
  </si>
  <si>
    <t>VAT payment</t>
  </si>
  <si>
    <t>Taxes</t>
  </si>
  <si>
    <t>Customer receipt - Key Account</t>
  </si>
  <si>
    <t>Rent payment</t>
  </si>
  <si>
    <t>Insurance payment</t>
  </si>
  <si>
    <t>Supplier payment - Transport</t>
  </si>
  <si>
    <t>Marketing campaign payment</t>
  </si>
  <si>
    <t>Customer receipt - Online Sales</t>
  </si>
  <si>
    <t>Office expenses</t>
  </si>
  <si>
    <t>Bank fees</t>
  </si>
  <si>
    <t>Bank Fees</t>
  </si>
  <si>
    <t>Tax installment</t>
  </si>
  <si>
    <t>Month-end supplier settlement</t>
  </si>
  <si>
    <t>Treasury Dashboard</t>
  </si>
  <si>
    <t>Total Cash In</t>
  </si>
  <si>
    <t>Total Cash Out</t>
  </si>
  <si>
    <t>Final Balance</t>
  </si>
  <si>
    <t>Minimum Balance</t>
  </si>
  <si>
    <t>Cash Gap Days</t>
  </si>
  <si>
    <t>Low Liquidity Days</t>
  </si>
  <si>
    <t>Category Summary</t>
  </si>
  <si>
    <t>Treasury Dashboard Project Notes</t>
  </si>
  <si>
    <t>Purpose</t>
  </si>
  <si>
    <t>Monitor cash inflows, cash outflows and liquidity risk over a 30-day period.</t>
  </si>
  <si>
    <t>Key Metrics</t>
  </si>
  <si>
    <t>Total Cash In, Total Cash Out, Final Balance, Minimum Balance, Cash Gap Days.</t>
  </si>
  <si>
    <t>I created a treasury dashboard in Excel to forecast cash position, identify low-liquidity days and support payment planning decisions.</t>
  </si>
  <si>
    <t>Total 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</si>
</sst>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1"/>
    </font>
    <font>
      <b/>
      <sz val="20"/>
      <color rgb="FF1F4E78"/>
      <name val="Calibri"/>
      <family val="2"/>
      <charset val="161"/>
    </font>
    <font>
      <b/>
      <sz val="14"/>
      <name val="Calibri"/>
      <family val="2"/>
      <charset val="161"/>
    </font>
    <font>
      <b/>
      <sz val="14"/>
      <color rgb="FF1F4E78"/>
      <name val="Calibri"/>
      <family val="2"/>
      <charset val="161"/>
    </font>
    <font>
      <b/>
      <sz val="16"/>
      <color rgb="FF1F4E78"/>
      <name val="Calibri"/>
      <family val="2"/>
      <charset val="16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0" xfId="0" applyFont="1"/>
    <xf numFmtId="0" fontId="0" fillId="0" borderId="1" xfId="0" applyBorder="1"/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pivotButton="1" applyFont="1"/>
    <xf numFmtId="0" fontId="6" fillId="0" borderId="0" xfId="0" applyFont="1"/>
    <xf numFmtId="164" fontId="6" fillId="0" borderId="0" xfId="0" applyNumberFormat="1" applyFont="1"/>
  </cellXfs>
  <cellStyles count="1">
    <cellStyle name="Κανονικό" xfId="0" builtinId="0"/>
  </cellStyles>
  <dxfs count="11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numFmt numFmtId="164" formatCode="\€#,##0"/>
    </dxf>
    <dxf>
      <numFmt numFmtId="164" formatCode="\€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[treasury_dashboard_more_data-1.xlsx]Pivots!Συγκεντρωτικός Πίνακας1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 Cash 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Pivots!$A$4:$A$10</c:f>
              <c:strCache>
                <c:ptCount val="7"/>
                <c:pt idx="0">
                  <c:v>Receivables</c:v>
                </c:pt>
                <c:pt idx="1">
                  <c:v>Suppliers</c:v>
                </c:pt>
                <c:pt idx="2">
                  <c:v>Bank Fees</c:v>
                </c:pt>
                <c:pt idx="3">
                  <c:v>Loans</c:v>
                </c:pt>
                <c:pt idx="4">
                  <c:v>Taxes</c:v>
                </c:pt>
                <c:pt idx="5">
                  <c:v>Operating Expenses</c:v>
                </c:pt>
                <c:pt idx="6">
                  <c:v>Payroll</c:v>
                </c:pt>
              </c:strCache>
            </c:strRef>
          </c:cat>
          <c:val>
            <c:numRef>
              <c:f>Pivots!$B$4:$B$10</c:f>
              <c:numCache>
                <c:formatCode>\€#,##0</c:formatCode>
                <c:ptCount val="7"/>
                <c:pt idx="0">
                  <c:v>121700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4-4780-9EA5-FCA8FAE31718}"/>
            </c:ext>
          </c:extLst>
        </c:ser>
        <c:ser>
          <c:idx val="1"/>
          <c:order val="1"/>
          <c:tx>
            <c:strRef>
              <c:f>Pivots!$C$3</c:f>
              <c:strCache>
                <c:ptCount val="1"/>
                <c:pt idx="0">
                  <c:v>Total Cash Out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Pivots!$A$4:$A$10</c:f>
              <c:strCache>
                <c:ptCount val="7"/>
                <c:pt idx="0">
                  <c:v>Receivables</c:v>
                </c:pt>
                <c:pt idx="1">
                  <c:v>Suppliers</c:v>
                </c:pt>
                <c:pt idx="2">
                  <c:v>Bank Fees</c:v>
                </c:pt>
                <c:pt idx="3">
                  <c:v>Loans</c:v>
                </c:pt>
                <c:pt idx="4">
                  <c:v>Taxes</c:v>
                </c:pt>
                <c:pt idx="5">
                  <c:v>Operating Expenses</c:v>
                </c:pt>
                <c:pt idx="6">
                  <c:v>Payroll</c:v>
                </c:pt>
              </c:strCache>
            </c:strRef>
          </c:cat>
          <c:val>
            <c:numRef>
              <c:f>Pivots!$C$4:$C$10</c:f>
              <c:numCache>
                <c:formatCode>\€#,##0</c:formatCode>
                <c:ptCount val="7"/>
                <c:pt idx="0">
                  <c:v>0</c:v>
                </c:pt>
                <c:pt idx="1">
                  <c:v>78400</c:v>
                </c:pt>
                <c:pt idx="2">
                  <c:v>350</c:v>
                </c:pt>
                <c:pt idx="3">
                  <c:v>3500</c:v>
                </c:pt>
                <c:pt idx="4">
                  <c:v>10500</c:v>
                </c:pt>
                <c:pt idx="5">
                  <c:v>10850</c:v>
                </c:pt>
                <c:pt idx="6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4-4780-9EA5-FCA8FAE31718}"/>
            </c:ext>
          </c:extLst>
        </c:ser>
        <c:ser>
          <c:idx val="2"/>
          <c:order val="2"/>
          <c:tx>
            <c:strRef>
              <c:f>Pivots!$D$3</c:f>
              <c:strCache>
                <c:ptCount val="1"/>
                <c:pt idx="0">
                  <c:v>Total Net Cash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Pivots!$A$4:$A$10</c:f>
              <c:strCache>
                <c:ptCount val="7"/>
                <c:pt idx="0">
                  <c:v>Receivables</c:v>
                </c:pt>
                <c:pt idx="1">
                  <c:v>Suppliers</c:v>
                </c:pt>
                <c:pt idx="2">
                  <c:v>Bank Fees</c:v>
                </c:pt>
                <c:pt idx="3">
                  <c:v>Loans</c:v>
                </c:pt>
                <c:pt idx="4">
                  <c:v>Taxes</c:v>
                </c:pt>
                <c:pt idx="5">
                  <c:v>Operating Expenses</c:v>
                </c:pt>
                <c:pt idx="6">
                  <c:v>Payroll</c:v>
                </c:pt>
              </c:strCache>
            </c:strRef>
          </c:cat>
          <c:val>
            <c:numRef>
              <c:f>Pivots!$D$4:$D$10</c:f>
              <c:numCache>
                <c:formatCode>\€#,##0</c:formatCode>
                <c:ptCount val="7"/>
                <c:pt idx="0">
                  <c:v>121700</c:v>
                </c:pt>
                <c:pt idx="1">
                  <c:v>-78400</c:v>
                </c:pt>
                <c:pt idx="2">
                  <c:v>-350</c:v>
                </c:pt>
                <c:pt idx="3">
                  <c:v>-3500</c:v>
                </c:pt>
                <c:pt idx="4">
                  <c:v>-10500</c:v>
                </c:pt>
                <c:pt idx="5">
                  <c:v>-10850</c:v>
                </c:pt>
                <c:pt idx="6">
                  <c:v>-36000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C4-4780-9EA5-FCA8FAE31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930624"/>
        <c:axId val="896929184"/>
      </c:barChart>
      <c:catAx>
        <c:axId val="89693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96929184"/>
        <c:crosses val="autoZero"/>
        <c:auto val="1"/>
        <c:lblAlgn val="ctr"/>
        <c:lblOffset val="100"/>
        <c:noMultiLvlLbl val="0"/>
      </c:catAx>
      <c:valAx>
        <c:axId val="89692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€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9693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Closing Balance Trend</a:t>
            </a:r>
          </a:p>
        </c:rich>
      </c:tx>
      <c:layout>
        <c:manualLayout>
          <c:xMode val="edge"/>
          <c:yMode val="edge"/>
          <c:x val="0.40104583333333332"/>
          <c:y val="4.409722222222222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2114197530864195E-2"/>
          <c:y val="6.6145833333333334E-2"/>
          <c:w val="0.71918888888888888"/>
          <c:h val="0.82802083333333332"/>
        </c:manualLayout>
      </c:layout>
      <c:lineChart>
        <c:grouping val="standard"/>
        <c:varyColors val="1"/>
        <c:ser>
          <c:idx val="0"/>
          <c:order val="0"/>
          <c:tx>
            <c:strRef>
              <c:f>'Cash Flow Data'!$H$1</c:f>
              <c:strCache>
                <c:ptCount val="1"/>
                <c:pt idx="0">
                  <c:v>Closing 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'Cash Flow Data'!$A$2:$A$31</c:f>
              <c:numCache>
                <c:formatCode>m/d/yyyy</c:formatCode>
                <c:ptCount val="3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</c:numCache>
            </c:numRef>
          </c:cat>
          <c:val>
            <c:numRef>
              <c:f>'Cash Flow Data'!$H$2:$H$31</c:f>
              <c:numCache>
                <c:formatCode>\€#,##0</c:formatCode>
                <c:ptCount val="30"/>
                <c:pt idx="0">
                  <c:v>120000</c:v>
                </c:pt>
                <c:pt idx="1">
                  <c:v>128500</c:v>
                </c:pt>
                <c:pt idx="2">
                  <c:v>121300</c:v>
                </c:pt>
                <c:pt idx="3">
                  <c:v>133300</c:v>
                </c:pt>
                <c:pt idx="4">
                  <c:v>115300</c:v>
                </c:pt>
                <c:pt idx="5">
                  <c:v>111800</c:v>
                </c:pt>
                <c:pt idx="6">
                  <c:v>126800</c:v>
                </c:pt>
                <c:pt idx="7">
                  <c:v>104800</c:v>
                </c:pt>
                <c:pt idx="8">
                  <c:v>103000</c:v>
                </c:pt>
                <c:pt idx="9">
                  <c:v>96500</c:v>
                </c:pt>
                <c:pt idx="10">
                  <c:v>116500</c:v>
                </c:pt>
                <c:pt idx="11">
                  <c:v>114000</c:v>
                </c:pt>
                <c:pt idx="12">
                  <c:v>113100</c:v>
                </c:pt>
                <c:pt idx="13">
                  <c:v>108900</c:v>
                </c:pt>
                <c:pt idx="14">
                  <c:v>116700</c:v>
                </c:pt>
                <c:pt idx="15">
                  <c:v>113500</c:v>
                </c:pt>
                <c:pt idx="16">
                  <c:v>119100</c:v>
                </c:pt>
                <c:pt idx="17">
                  <c:v>113000</c:v>
                </c:pt>
                <c:pt idx="18">
                  <c:v>112250</c:v>
                </c:pt>
                <c:pt idx="19">
                  <c:v>123250</c:v>
                </c:pt>
                <c:pt idx="20">
                  <c:v>105250</c:v>
                </c:pt>
                <c:pt idx="21">
                  <c:v>86250</c:v>
                </c:pt>
                <c:pt idx="22">
                  <c:v>85900</c:v>
                </c:pt>
                <c:pt idx="23">
                  <c:v>100400</c:v>
                </c:pt>
                <c:pt idx="24">
                  <c:v>96400</c:v>
                </c:pt>
                <c:pt idx="25">
                  <c:v>114400</c:v>
                </c:pt>
                <c:pt idx="26">
                  <c:v>110500</c:v>
                </c:pt>
                <c:pt idx="27">
                  <c:v>108800</c:v>
                </c:pt>
                <c:pt idx="28">
                  <c:v>118100</c:v>
                </c:pt>
                <c:pt idx="29">
                  <c:v>102100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C6-B942-B0A7-4292E5F4F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2844490740740743"/>
              <c:y val="0.91180555555555554"/>
            </c:manualLayout>
          </c:layout>
          <c:overlay val="1"/>
        </c:title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Balance (€)</a:t>
                </a:r>
              </a:p>
            </c:rich>
          </c:tx>
          <c:layout>
            <c:manualLayout>
              <c:xMode val="edge"/>
              <c:yMode val="edge"/>
              <c:x val="2.3116666666666667E-2"/>
              <c:y val="0.3565184027777778"/>
            </c:manualLayout>
          </c:layout>
          <c:overlay val="1"/>
        </c:title>
        <c:numFmt formatCode="\€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l-G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1</xdr:row>
      <xdr:rowOff>148590</xdr:rowOff>
    </xdr:from>
    <xdr:to>
      <xdr:col>7</xdr:col>
      <xdr:colOff>1104900</xdr:colOff>
      <xdr:row>17</xdr:row>
      <xdr:rowOff>30480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E3F898A8-CA11-3CD4-1636-2F1960E4C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8</xdr:row>
      <xdr:rowOff>91440</xdr:rowOff>
    </xdr:from>
    <xdr:ext cx="631236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Χριστίνα Μπουρουντζή" refreshedDate="46139.830847106481" createdVersion="8" refreshedVersion="8" minRefreshableVersion="3" recordCount="30" xr:uid="{D4675F7D-717D-4A80-AEF3-4F126069C398}">
  <cacheSource type="worksheet">
    <worksheetSource name="CashFlowData"/>
  </cacheSource>
  <cacheFields count="9">
    <cacheField name="Date" numFmtId="14">
      <sharedItems containsSemiMixedTypes="0" containsNonDate="0" containsDate="1" containsString="0" minDate="2026-05-01T00:00:00" maxDate="2026-05-31T00:00:00"/>
    </cacheField>
    <cacheField name="Description" numFmtId="0">
      <sharedItems/>
    </cacheField>
    <cacheField name="Category" numFmtId="0">
      <sharedItems count="8">
        <s v="Opening Balance"/>
        <s v="Receivables"/>
        <s v="Suppliers"/>
        <s v="Payroll"/>
        <s v="Loans"/>
        <s v="Operating Expenses"/>
        <s v="Taxes"/>
        <s v="Bank Fees"/>
      </sharedItems>
    </cacheField>
    <cacheField name="Cash In" numFmtId="164">
      <sharedItems containsSemiMixedTypes="0" containsString="0" containsNumber="1" containsInteger="1" minValue="0" maxValue="60000"/>
    </cacheField>
    <cacheField name="Cash Out" numFmtId="164">
      <sharedItems containsSemiMixedTypes="0" containsString="0" containsNumber="1" containsInteger="1" minValue="0" maxValue="22000"/>
    </cacheField>
    <cacheField name="Opening Balance" numFmtId="164">
      <sharedItems containsSemiMixedTypes="0" containsString="0" containsNumber="1" containsInteger="1" minValue="60000" maxValue="133300"/>
    </cacheField>
    <cacheField name="Net Cash Flow" numFmtId="164">
      <sharedItems containsSemiMixedTypes="0" containsString="0" containsNumber="1" containsInteger="1" minValue="-22000" maxValue="60000"/>
    </cacheField>
    <cacheField name="Closing Balance" numFmtId="164">
      <sharedItems containsSemiMixedTypes="0" containsString="0" containsNumber="1" containsInteger="1" minValue="85900" maxValue="1333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6-05-01T00:00:00"/>
    <s v="Opening cash position"/>
    <x v="0"/>
    <n v="60000"/>
    <n v="0"/>
    <n v="60000"/>
    <n v="60000"/>
    <n v="120000"/>
    <s v="OK"/>
  </r>
  <r>
    <d v="2026-05-02T00:00:00"/>
    <s v="Customer receipt - Retail Clients"/>
    <x v="1"/>
    <n v="8500"/>
    <n v="0"/>
    <n v="120000"/>
    <n v="8500"/>
    <n v="128500"/>
    <s v="OK"/>
  </r>
  <r>
    <d v="2026-05-03T00:00:00"/>
    <s v="Supplier payment - Packaging"/>
    <x v="2"/>
    <n v="0"/>
    <n v="7200"/>
    <n v="128500"/>
    <n v="-7200"/>
    <n v="121300"/>
    <s v="OK"/>
  </r>
  <r>
    <d v="2026-05-04T00:00:00"/>
    <s v="Customer receipt - Wholesale"/>
    <x v="1"/>
    <n v="12000"/>
    <n v="0"/>
    <n v="121300"/>
    <n v="12000"/>
    <n v="133300"/>
    <s v="OK"/>
  </r>
  <r>
    <d v="2026-05-05T00:00:00"/>
    <s v="Payroll payment"/>
    <x v="3"/>
    <n v="0"/>
    <n v="18000"/>
    <n v="133300"/>
    <n v="-18000"/>
    <n v="115300"/>
    <s v="OK"/>
  </r>
  <r>
    <d v="2026-05-06T00:00:00"/>
    <s v="Bank loan installment"/>
    <x v="4"/>
    <n v="0"/>
    <n v="3500"/>
    <n v="115300"/>
    <n v="-3500"/>
    <n v="111800"/>
    <s v="OK"/>
  </r>
  <r>
    <d v="2026-05-07T00:00:00"/>
    <s v="Customer receipt - Export Client"/>
    <x v="1"/>
    <n v="15000"/>
    <n v="0"/>
    <n v="111800"/>
    <n v="15000"/>
    <n v="126800"/>
    <s v="OK"/>
  </r>
  <r>
    <d v="2026-05-08T00:00:00"/>
    <s v="Supplier payment - Raw Materials"/>
    <x v="2"/>
    <n v="0"/>
    <n v="22000"/>
    <n v="126800"/>
    <n v="-22000"/>
    <n v="104800"/>
    <s v="OK"/>
  </r>
  <r>
    <d v="2026-05-09T00:00:00"/>
    <s v="Utilities payment"/>
    <x v="5"/>
    <n v="0"/>
    <n v="1800"/>
    <n v="104800"/>
    <n v="-1800"/>
    <n v="103000"/>
    <s v="OK"/>
  </r>
  <r>
    <d v="2026-05-10T00:00:00"/>
    <s v="VAT payment"/>
    <x v="6"/>
    <n v="0"/>
    <n v="6500"/>
    <n v="103000"/>
    <n v="-6500"/>
    <n v="96500"/>
    <s v="OK"/>
  </r>
  <r>
    <d v="2026-05-11T00:00:00"/>
    <s v="Customer receipt - Key Account"/>
    <x v="1"/>
    <n v="20000"/>
    <n v="0"/>
    <n v="96500"/>
    <n v="20000"/>
    <n v="116500"/>
    <s v="OK"/>
  </r>
  <r>
    <d v="2026-05-12T00:00:00"/>
    <s v="Rent payment"/>
    <x v="5"/>
    <n v="0"/>
    <n v="2500"/>
    <n v="116500"/>
    <n v="-2500"/>
    <n v="114000"/>
    <s v="OK"/>
  </r>
  <r>
    <d v="2026-05-13T00:00:00"/>
    <s v="Insurance payment"/>
    <x v="5"/>
    <n v="0"/>
    <n v="900"/>
    <n v="114000"/>
    <n v="-900"/>
    <n v="113100"/>
    <s v="OK"/>
  </r>
  <r>
    <d v="2026-05-14T00:00:00"/>
    <s v="Supplier payment - Transport"/>
    <x v="2"/>
    <n v="0"/>
    <n v="4200"/>
    <n v="113100"/>
    <n v="-4200"/>
    <n v="108900"/>
    <s v="OK"/>
  </r>
  <r>
    <d v="2026-05-15T00:00:00"/>
    <s v="Customer receipt - Retail Clients"/>
    <x v="1"/>
    <n v="7800"/>
    <n v="0"/>
    <n v="108900"/>
    <n v="7800"/>
    <n v="116700"/>
    <s v="OK"/>
  </r>
  <r>
    <d v="2026-05-16T00:00:00"/>
    <s v="Marketing campaign payment"/>
    <x v="5"/>
    <n v="0"/>
    <n v="3200"/>
    <n v="116700"/>
    <n v="-3200"/>
    <n v="113500"/>
    <s v="OK"/>
  </r>
  <r>
    <d v="2026-05-17T00:00:00"/>
    <s v="Customer receipt - Online Sales"/>
    <x v="1"/>
    <n v="5600"/>
    <n v="0"/>
    <n v="113500"/>
    <n v="5600"/>
    <n v="119100"/>
    <s v="OK"/>
  </r>
  <r>
    <d v="2026-05-18T00:00:00"/>
    <s v="Supplier payment - Packaging"/>
    <x v="2"/>
    <n v="0"/>
    <n v="6100"/>
    <n v="119100"/>
    <n v="-6100"/>
    <n v="113000"/>
    <s v="OK"/>
  </r>
  <r>
    <d v="2026-05-19T00:00:00"/>
    <s v="Office expenses"/>
    <x v="5"/>
    <n v="0"/>
    <n v="750"/>
    <n v="113000"/>
    <n v="-750"/>
    <n v="112250"/>
    <s v="OK"/>
  </r>
  <r>
    <d v="2026-05-20T00:00:00"/>
    <s v="Customer receipt - Wholesale"/>
    <x v="1"/>
    <n v="11000"/>
    <n v="0"/>
    <n v="112250"/>
    <n v="11000"/>
    <n v="123250"/>
    <s v="OK"/>
  </r>
  <r>
    <d v="2026-05-21T00:00:00"/>
    <s v="Payroll payment"/>
    <x v="3"/>
    <n v="0"/>
    <n v="18000"/>
    <n v="123250"/>
    <n v="-18000"/>
    <n v="105250"/>
    <s v="OK"/>
  </r>
  <r>
    <d v="2026-05-22T00:00:00"/>
    <s v="Supplier payment - Raw Materials"/>
    <x v="2"/>
    <n v="0"/>
    <n v="19000"/>
    <n v="105250"/>
    <n v="-19000"/>
    <n v="86250"/>
    <s v="OK"/>
  </r>
  <r>
    <d v="2026-05-23T00:00:00"/>
    <s v="Bank fees"/>
    <x v="7"/>
    <n v="0"/>
    <n v="350"/>
    <n v="86250"/>
    <n v="-350"/>
    <n v="85900"/>
    <s v="OK"/>
  </r>
  <r>
    <d v="2026-05-24T00:00:00"/>
    <s v="Customer receipt - Export Client"/>
    <x v="1"/>
    <n v="14500"/>
    <n v="0"/>
    <n v="85900"/>
    <n v="14500"/>
    <n v="100400"/>
    <s v="OK"/>
  </r>
  <r>
    <d v="2026-05-25T00:00:00"/>
    <s v="Tax installment"/>
    <x v="6"/>
    <n v="0"/>
    <n v="4000"/>
    <n v="100400"/>
    <n v="-4000"/>
    <n v="96400"/>
    <s v="OK"/>
  </r>
  <r>
    <d v="2026-05-26T00:00:00"/>
    <s v="Customer receipt - Key Account"/>
    <x v="1"/>
    <n v="18000"/>
    <n v="0"/>
    <n v="96400"/>
    <n v="18000"/>
    <n v="114400"/>
    <s v="OK"/>
  </r>
  <r>
    <d v="2026-05-27T00:00:00"/>
    <s v="Supplier payment - Transport"/>
    <x v="2"/>
    <n v="0"/>
    <n v="3900"/>
    <n v="114400"/>
    <n v="-3900"/>
    <n v="110500"/>
    <s v="OK"/>
  </r>
  <r>
    <d v="2026-05-28T00:00:00"/>
    <s v="Utilities payment"/>
    <x v="5"/>
    <n v="0"/>
    <n v="1700"/>
    <n v="110500"/>
    <n v="-1700"/>
    <n v="108800"/>
    <s v="OK"/>
  </r>
  <r>
    <d v="2026-05-29T00:00:00"/>
    <s v="Customer receipt - Retail Clients"/>
    <x v="1"/>
    <n v="9300"/>
    <n v="0"/>
    <n v="108800"/>
    <n v="9300"/>
    <n v="118100"/>
    <s v="OK"/>
  </r>
  <r>
    <d v="2026-05-30T00:00:00"/>
    <s v="Month-end supplier settlement"/>
    <x v="2"/>
    <n v="0"/>
    <n v="16000"/>
    <n v="118100"/>
    <n v="-16000"/>
    <n v="102100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E9A1C-BEAC-482B-A50E-DA52057E781D}" name="Συγκεντρωτικός Πίνακας1" cacheId="0" dataPosition="0" applyNumberFormats="0" applyBorderFormats="0" applyFontFormats="0" applyPatternFormats="0" applyAlignmentFormats="0" applyWidthHeightFormats="1" dataCaption="Τιμές" updatedVersion="8" minRefreshableVersion="3" useAutoFormatting="1" rowGrandTotals="0" itemPrintTitles="1" createdVersion="8" indent="0" compact="0" compactData="0" multipleFieldFilters="0" chartFormat="15">
  <location ref="A3:D10" firstHeaderRow="0" firstDataRow="1" firstDataCol="1"/>
  <pivotFields count="9">
    <pivotField compact="0" numFmtId="14" outline="0" showAll="0"/>
    <pivotField compact="0" outline="0" showAll="0"/>
    <pivotField axis="axisRow" compact="0" outline="0" showAll="0" sortType="descending">
      <items count="9">
        <item x="7"/>
        <item x="4"/>
        <item h="1" x="0"/>
        <item x="5"/>
        <item x="3"/>
        <item x="1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dataField="1"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outline="0" showAll="0"/>
  </pivotFields>
  <rowFields count="1">
    <field x="2"/>
  </rowFields>
  <rowItems count="7">
    <i>
      <x v="5"/>
    </i>
    <i>
      <x v="6"/>
    </i>
    <i>
      <x/>
    </i>
    <i>
      <x v="1"/>
    </i>
    <i>
      <x v="7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ash In" fld="3" baseField="0" baseItem="0" numFmtId="164"/>
    <dataField name="Total Cash Out" fld="4" baseField="0" baseItem="0" numFmtId="164"/>
    <dataField name="Total Net Cash Flow" fld="6" baseField="0" baseItem="0" numFmtId="164"/>
  </dataFields>
  <formats count="6">
    <format dxfId="10">
      <pivotArea type="all" dataOnly="0" outline="0" fieldPosition="0"/>
    </format>
    <format dxfId="9">
      <pivotArea outline="0" collapsedLevelsAreSubtotals="1" fieldPosition="0"/>
    </format>
    <format dxfId="8">
      <pivotArea field="2" type="button" dataOnly="0" labelOnly="1" outline="0" axis="axisRow" fieldPosition="0"/>
    </format>
    <format dxfId="7">
      <pivotArea dataOnly="0" labelOnly="1" outline="0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7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hFlowData" displayName="CashFlowData" ref="A1:I31">
  <autoFilter ref="A1:I31" xr:uid="{00000000-0009-0000-0100-000001000000}"/>
  <tableColumns count="9">
    <tableColumn id="1" xr3:uid="{00000000-0010-0000-0000-000001000000}" name="Date"/>
    <tableColumn id="2" xr3:uid="{00000000-0010-0000-0000-000002000000}" name="Description"/>
    <tableColumn id="3" xr3:uid="{00000000-0010-0000-0000-000003000000}" name="Category"/>
    <tableColumn id="4" xr3:uid="{00000000-0010-0000-0000-000004000000}" name="Cash In"/>
    <tableColumn id="5" xr3:uid="{00000000-0010-0000-0000-000005000000}" name="Cash Out"/>
    <tableColumn id="6" xr3:uid="{00000000-0010-0000-0000-000006000000}" name="Opening Balance"/>
    <tableColumn id="7" xr3:uid="{00000000-0010-0000-0000-000007000000}" name="Net Cash Flow" dataDxfId="4">
      <calculatedColumnFormula>SUM(CashFlowData[[#This Row],[Cash In]]-CashFlowData[[#This Row],[Cash Out]])</calculatedColumnFormula>
    </tableColumn>
    <tableColumn id="8" xr3:uid="{00000000-0010-0000-0000-000008000000}" name="Closing Balance" dataDxfId="3">
      <calculatedColumnFormula>SUM(CashFlowData[[#This Row],[Opening Balance]]+CashFlowData[[#This Row],[Net Cash Flow]])</calculatedColumnFormula>
    </tableColumn>
    <tableColumn id="9" xr3:uid="{00000000-0010-0000-00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pane ySplit="1" topLeftCell="A2" activePane="bottomLeft" state="frozen"/>
      <selection pane="bottomLeft" activeCell="L25" sqref="L25"/>
    </sheetView>
  </sheetViews>
  <sheetFormatPr defaultRowHeight="14.4" x14ac:dyDescent="0.3"/>
  <cols>
    <col min="1" max="1" width="13" customWidth="1"/>
    <col min="2" max="2" width="35" customWidth="1"/>
    <col min="3" max="3" width="20" customWidth="1"/>
    <col min="4" max="5" width="14" customWidth="1"/>
    <col min="6" max="6" width="18" customWidth="1"/>
    <col min="7" max="7" width="16" customWidth="1"/>
    <col min="8" max="8" width="18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46143</v>
      </c>
      <c r="B2" s="3" t="s">
        <v>9</v>
      </c>
      <c r="C2" s="3" t="s">
        <v>5</v>
      </c>
      <c r="D2" s="4">
        <v>60000</v>
      </c>
      <c r="E2" s="4">
        <v>0</v>
      </c>
      <c r="F2" s="4">
        <v>60000</v>
      </c>
      <c r="G2" s="4">
        <f>SUM(CashFlowData[[#This Row],[Cash In]]-CashFlowData[[#This Row],[Cash Out]])</f>
        <v>60000</v>
      </c>
      <c r="H2" s="4">
        <f>SUM(CashFlowData[[#This Row],[Opening Balance]]+CashFlowData[[#This Row],[Net Cash Flow]])</f>
        <v>120000</v>
      </c>
      <c r="I2" s="3" t="str">
        <f t="shared" ref="I2:I31" si="0">IF(H2&lt;0,"Cash Gap",IF(H2&lt;15000,"Low Liquidity","OK"))</f>
        <v>OK</v>
      </c>
    </row>
    <row r="3" spans="1:9" x14ac:dyDescent="0.3">
      <c r="A3" s="2">
        <v>46144</v>
      </c>
      <c r="B3" s="3" t="s">
        <v>10</v>
      </c>
      <c r="C3" s="3" t="s">
        <v>11</v>
      </c>
      <c r="D3" s="4">
        <v>8500</v>
      </c>
      <c r="E3" s="4">
        <v>0</v>
      </c>
      <c r="F3" s="4">
        <f>H2</f>
        <v>120000</v>
      </c>
      <c r="G3" s="4">
        <f>SUM(CashFlowData[[#This Row],[Cash In]]-CashFlowData[[#This Row],[Cash Out]])</f>
        <v>8500</v>
      </c>
      <c r="H3" s="4">
        <f>SUM(CashFlowData[[#This Row],[Opening Balance]]+CashFlowData[[#This Row],[Net Cash Flow]])</f>
        <v>128500</v>
      </c>
      <c r="I3" s="3" t="str">
        <f t="shared" si="0"/>
        <v>OK</v>
      </c>
    </row>
    <row r="4" spans="1:9" x14ac:dyDescent="0.3">
      <c r="A4" s="2">
        <v>46145</v>
      </c>
      <c r="B4" s="3" t="s">
        <v>12</v>
      </c>
      <c r="C4" s="3" t="s">
        <v>13</v>
      </c>
      <c r="D4" s="4">
        <v>0</v>
      </c>
      <c r="E4" s="4">
        <v>7200</v>
      </c>
      <c r="F4" s="4">
        <f t="shared" ref="F4:F31" si="1">H3</f>
        <v>128500</v>
      </c>
      <c r="G4" s="4">
        <f>SUM(CashFlowData[[#This Row],[Cash In]]-CashFlowData[[#This Row],[Cash Out]])</f>
        <v>-7200</v>
      </c>
      <c r="H4" s="4">
        <f>SUM(CashFlowData[[#This Row],[Opening Balance]]+CashFlowData[[#This Row],[Net Cash Flow]])</f>
        <v>121300</v>
      </c>
      <c r="I4" s="3" t="str">
        <f t="shared" si="0"/>
        <v>OK</v>
      </c>
    </row>
    <row r="5" spans="1:9" x14ac:dyDescent="0.3">
      <c r="A5" s="2">
        <v>46146</v>
      </c>
      <c r="B5" s="3" t="s">
        <v>14</v>
      </c>
      <c r="C5" s="3" t="s">
        <v>11</v>
      </c>
      <c r="D5" s="4">
        <v>12000</v>
      </c>
      <c r="E5" s="4">
        <v>0</v>
      </c>
      <c r="F5" s="4">
        <f t="shared" si="1"/>
        <v>121300</v>
      </c>
      <c r="G5" s="4">
        <f>SUM(CashFlowData[[#This Row],[Cash In]]-CashFlowData[[#This Row],[Cash Out]])</f>
        <v>12000</v>
      </c>
      <c r="H5" s="4">
        <f>SUM(CashFlowData[[#This Row],[Opening Balance]]+CashFlowData[[#This Row],[Net Cash Flow]])</f>
        <v>133300</v>
      </c>
      <c r="I5" s="3" t="str">
        <f t="shared" si="0"/>
        <v>OK</v>
      </c>
    </row>
    <row r="6" spans="1:9" x14ac:dyDescent="0.3">
      <c r="A6" s="2">
        <v>46147</v>
      </c>
      <c r="B6" s="3" t="s">
        <v>15</v>
      </c>
      <c r="C6" s="3" t="s">
        <v>16</v>
      </c>
      <c r="D6" s="4">
        <v>0</v>
      </c>
      <c r="E6" s="4">
        <v>18000</v>
      </c>
      <c r="F6" s="4">
        <f t="shared" si="1"/>
        <v>133300</v>
      </c>
      <c r="G6" s="4">
        <f>SUM(CashFlowData[[#This Row],[Cash In]]-CashFlowData[[#This Row],[Cash Out]])</f>
        <v>-18000</v>
      </c>
      <c r="H6" s="4">
        <f>SUM(CashFlowData[[#This Row],[Opening Balance]]+CashFlowData[[#This Row],[Net Cash Flow]])</f>
        <v>115300</v>
      </c>
      <c r="I6" s="3" t="str">
        <f t="shared" si="0"/>
        <v>OK</v>
      </c>
    </row>
    <row r="7" spans="1:9" x14ac:dyDescent="0.3">
      <c r="A7" s="2">
        <v>46148</v>
      </c>
      <c r="B7" s="3" t="s">
        <v>17</v>
      </c>
      <c r="C7" s="3" t="s">
        <v>18</v>
      </c>
      <c r="D7" s="4">
        <v>0</v>
      </c>
      <c r="E7" s="4">
        <v>3500</v>
      </c>
      <c r="F7" s="4">
        <f t="shared" si="1"/>
        <v>115300</v>
      </c>
      <c r="G7" s="4">
        <f>SUM(CashFlowData[[#This Row],[Cash In]]-CashFlowData[[#This Row],[Cash Out]])</f>
        <v>-3500</v>
      </c>
      <c r="H7" s="4">
        <f>SUM(CashFlowData[[#This Row],[Opening Balance]]+CashFlowData[[#This Row],[Net Cash Flow]])</f>
        <v>111800</v>
      </c>
      <c r="I7" s="3" t="str">
        <f t="shared" si="0"/>
        <v>OK</v>
      </c>
    </row>
    <row r="8" spans="1:9" x14ac:dyDescent="0.3">
      <c r="A8" s="2">
        <v>46149</v>
      </c>
      <c r="B8" s="3" t="s">
        <v>19</v>
      </c>
      <c r="C8" s="3" t="s">
        <v>11</v>
      </c>
      <c r="D8" s="4">
        <v>15000</v>
      </c>
      <c r="E8" s="4">
        <v>0</v>
      </c>
      <c r="F8" s="4">
        <f t="shared" si="1"/>
        <v>111800</v>
      </c>
      <c r="G8" s="4">
        <f>SUM(CashFlowData[[#This Row],[Cash In]]-CashFlowData[[#This Row],[Cash Out]])</f>
        <v>15000</v>
      </c>
      <c r="H8" s="4">
        <f>SUM(CashFlowData[[#This Row],[Opening Balance]]+CashFlowData[[#This Row],[Net Cash Flow]])</f>
        <v>126800</v>
      </c>
      <c r="I8" s="3" t="str">
        <f t="shared" si="0"/>
        <v>OK</v>
      </c>
    </row>
    <row r="9" spans="1:9" x14ac:dyDescent="0.3">
      <c r="A9" s="2">
        <v>46150</v>
      </c>
      <c r="B9" s="3" t="s">
        <v>20</v>
      </c>
      <c r="C9" s="3" t="s">
        <v>13</v>
      </c>
      <c r="D9" s="4">
        <v>0</v>
      </c>
      <c r="E9" s="4">
        <v>22000</v>
      </c>
      <c r="F9" s="4">
        <f t="shared" si="1"/>
        <v>126800</v>
      </c>
      <c r="G9" s="4">
        <f>SUM(CashFlowData[[#This Row],[Cash In]]-CashFlowData[[#This Row],[Cash Out]])</f>
        <v>-22000</v>
      </c>
      <c r="H9" s="4">
        <f>SUM(CashFlowData[[#This Row],[Opening Balance]]+CashFlowData[[#This Row],[Net Cash Flow]])</f>
        <v>104800</v>
      </c>
      <c r="I9" s="3" t="str">
        <f t="shared" si="0"/>
        <v>OK</v>
      </c>
    </row>
    <row r="10" spans="1:9" x14ac:dyDescent="0.3">
      <c r="A10" s="2">
        <v>46151</v>
      </c>
      <c r="B10" s="3" t="s">
        <v>21</v>
      </c>
      <c r="C10" s="3" t="s">
        <v>22</v>
      </c>
      <c r="D10" s="4">
        <v>0</v>
      </c>
      <c r="E10" s="4">
        <v>1800</v>
      </c>
      <c r="F10" s="4">
        <f t="shared" si="1"/>
        <v>104800</v>
      </c>
      <c r="G10" s="4">
        <f>SUM(CashFlowData[[#This Row],[Cash In]]-CashFlowData[[#This Row],[Cash Out]])</f>
        <v>-1800</v>
      </c>
      <c r="H10" s="4">
        <f>SUM(CashFlowData[[#This Row],[Opening Balance]]+CashFlowData[[#This Row],[Net Cash Flow]])</f>
        <v>103000</v>
      </c>
      <c r="I10" s="3" t="str">
        <f t="shared" si="0"/>
        <v>OK</v>
      </c>
    </row>
    <row r="11" spans="1:9" x14ac:dyDescent="0.3">
      <c r="A11" s="2">
        <v>46152</v>
      </c>
      <c r="B11" s="3" t="s">
        <v>23</v>
      </c>
      <c r="C11" s="3" t="s">
        <v>24</v>
      </c>
      <c r="D11" s="4">
        <v>0</v>
      </c>
      <c r="E11" s="4">
        <v>6500</v>
      </c>
      <c r="F11" s="4">
        <f t="shared" si="1"/>
        <v>103000</v>
      </c>
      <c r="G11" s="4">
        <f>SUM(CashFlowData[[#This Row],[Cash In]]-CashFlowData[[#This Row],[Cash Out]])</f>
        <v>-6500</v>
      </c>
      <c r="H11" s="4">
        <f>SUM(CashFlowData[[#This Row],[Opening Balance]]+CashFlowData[[#This Row],[Net Cash Flow]])</f>
        <v>96500</v>
      </c>
      <c r="I11" s="3" t="str">
        <f t="shared" si="0"/>
        <v>OK</v>
      </c>
    </row>
    <row r="12" spans="1:9" x14ac:dyDescent="0.3">
      <c r="A12" s="2">
        <v>46153</v>
      </c>
      <c r="B12" s="3" t="s">
        <v>25</v>
      </c>
      <c r="C12" s="3" t="s">
        <v>11</v>
      </c>
      <c r="D12" s="4">
        <v>20000</v>
      </c>
      <c r="E12" s="4">
        <v>0</v>
      </c>
      <c r="F12" s="4">
        <f t="shared" si="1"/>
        <v>96500</v>
      </c>
      <c r="G12" s="4">
        <f>SUM(CashFlowData[[#This Row],[Cash In]]-CashFlowData[[#This Row],[Cash Out]])</f>
        <v>20000</v>
      </c>
      <c r="H12" s="4">
        <f>SUM(CashFlowData[[#This Row],[Opening Balance]]+CashFlowData[[#This Row],[Net Cash Flow]])</f>
        <v>116500</v>
      </c>
      <c r="I12" s="3" t="str">
        <f t="shared" si="0"/>
        <v>OK</v>
      </c>
    </row>
    <row r="13" spans="1:9" x14ac:dyDescent="0.3">
      <c r="A13" s="2">
        <v>46154</v>
      </c>
      <c r="B13" s="3" t="s">
        <v>26</v>
      </c>
      <c r="C13" s="3" t="s">
        <v>22</v>
      </c>
      <c r="D13" s="4">
        <v>0</v>
      </c>
      <c r="E13" s="4">
        <v>2500</v>
      </c>
      <c r="F13" s="4">
        <f t="shared" si="1"/>
        <v>116500</v>
      </c>
      <c r="G13" s="4">
        <f>SUM(CashFlowData[[#This Row],[Cash In]]-CashFlowData[[#This Row],[Cash Out]])</f>
        <v>-2500</v>
      </c>
      <c r="H13" s="4">
        <f>SUM(CashFlowData[[#This Row],[Opening Balance]]+CashFlowData[[#This Row],[Net Cash Flow]])</f>
        <v>114000</v>
      </c>
      <c r="I13" s="3" t="str">
        <f t="shared" si="0"/>
        <v>OK</v>
      </c>
    </row>
    <row r="14" spans="1:9" x14ac:dyDescent="0.3">
      <c r="A14" s="2">
        <v>46155</v>
      </c>
      <c r="B14" s="3" t="s">
        <v>27</v>
      </c>
      <c r="C14" s="3" t="s">
        <v>22</v>
      </c>
      <c r="D14" s="4">
        <v>0</v>
      </c>
      <c r="E14" s="4">
        <v>900</v>
      </c>
      <c r="F14" s="4">
        <f t="shared" si="1"/>
        <v>114000</v>
      </c>
      <c r="G14" s="4">
        <f>SUM(CashFlowData[[#This Row],[Cash In]]-CashFlowData[[#This Row],[Cash Out]])</f>
        <v>-900</v>
      </c>
      <c r="H14" s="4">
        <f>SUM(CashFlowData[[#This Row],[Opening Balance]]+CashFlowData[[#This Row],[Net Cash Flow]])</f>
        <v>113100</v>
      </c>
      <c r="I14" s="3" t="str">
        <f t="shared" si="0"/>
        <v>OK</v>
      </c>
    </row>
    <row r="15" spans="1:9" x14ac:dyDescent="0.3">
      <c r="A15" s="2">
        <v>46156</v>
      </c>
      <c r="B15" s="3" t="s">
        <v>28</v>
      </c>
      <c r="C15" s="3" t="s">
        <v>13</v>
      </c>
      <c r="D15" s="4">
        <v>0</v>
      </c>
      <c r="E15" s="4">
        <v>4200</v>
      </c>
      <c r="F15" s="4">
        <f t="shared" si="1"/>
        <v>113100</v>
      </c>
      <c r="G15" s="4">
        <f>SUM(CashFlowData[[#This Row],[Cash In]]-CashFlowData[[#This Row],[Cash Out]])</f>
        <v>-4200</v>
      </c>
      <c r="H15" s="4">
        <f>SUM(CashFlowData[[#This Row],[Opening Balance]]+CashFlowData[[#This Row],[Net Cash Flow]])</f>
        <v>108900</v>
      </c>
      <c r="I15" s="3" t="str">
        <f t="shared" si="0"/>
        <v>OK</v>
      </c>
    </row>
    <row r="16" spans="1:9" x14ac:dyDescent="0.3">
      <c r="A16" s="2">
        <v>46157</v>
      </c>
      <c r="B16" s="3" t="s">
        <v>10</v>
      </c>
      <c r="C16" s="3" t="s">
        <v>11</v>
      </c>
      <c r="D16" s="4">
        <v>7800</v>
      </c>
      <c r="E16" s="4">
        <v>0</v>
      </c>
      <c r="F16" s="4">
        <f t="shared" si="1"/>
        <v>108900</v>
      </c>
      <c r="G16" s="4">
        <f>SUM(CashFlowData[[#This Row],[Cash In]]-CashFlowData[[#This Row],[Cash Out]])</f>
        <v>7800</v>
      </c>
      <c r="H16" s="4">
        <f>SUM(CashFlowData[[#This Row],[Opening Balance]]+CashFlowData[[#This Row],[Net Cash Flow]])</f>
        <v>116700</v>
      </c>
      <c r="I16" s="3" t="str">
        <f t="shared" si="0"/>
        <v>OK</v>
      </c>
    </row>
    <row r="17" spans="1:9" x14ac:dyDescent="0.3">
      <c r="A17" s="2">
        <v>46158</v>
      </c>
      <c r="B17" s="3" t="s">
        <v>29</v>
      </c>
      <c r="C17" s="3" t="s">
        <v>22</v>
      </c>
      <c r="D17" s="4">
        <v>0</v>
      </c>
      <c r="E17" s="4">
        <v>3200</v>
      </c>
      <c r="F17" s="4">
        <f t="shared" si="1"/>
        <v>116700</v>
      </c>
      <c r="G17" s="4">
        <f>SUM(CashFlowData[[#This Row],[Cash In]]-CashFlowData[[#This Row],[Cash Out]])</f>
        <v>-3200</v>
      </c>
      <c r="H17" s="4">
        <f>SUM(CashFlowData[[#This Row],[Opening Balance]]+CashFlowData[[#This Row],[Net Cash Flow]])</f>
        <v>113500</v>
      </c>
      <c r="I17" s="3" t="str">
        <f t="shared" si="0"/>
        <v>OK</v>
      </c>
    </row>
    <row r="18" spans="1:9" x14ac:dyDescent="0.3">
      <c r="A18" s="2">
        <v>46159</v>
      </c>
      <c r="B18" s="3" t="s">
        <v>30</v>
      </c>
      <c r="C18" s="3" t="s">
        <v>11</v>
      </c>
      <c r="D18" s="4">
        <v>5600</v>
      </c>
      <c r="E18" s="4">
        <v>0</v>
      </c>
      <c r="F18" s="4">
        <f t="shared" si="1"/>
        <v>113500</v>
      </c>
      <c r="G18" s="4">
        <f>SUM(CashFlowData[[#This Row],[Cash In]]-CashFlowData[[#This Row],[Cash Out]])</f>
        <v>5600</v>
      </c>
      <c r="H18" s="4">
        <f>SUM(CashFlowData[[#This Row],[Opening Balance]]+CashFlowData[[#This Row],[Net Cash Flow]])</f>
        <v>119100</v>
      </c>
      <c r="I18" s="3" t="str">
        <f t="shared" si="0"/>
        <v>OK</v>
      </c>
    </row>
    <row r="19" spans="1:9" x14ac:dyDescent="0.3">
      <c r="A19" s="2">
        <v>46160</v>
      </c>
      <c r="B19" s="3" t="s">
        <v>12</v>
      </c>
      <c r="C19" s="3" t="s">
        <v>13</v>
      </c>
      <c r="D19" s="4">
        <v>0</v>
      </c>
      <c r="E19" s="4">
        <v>6100</v>
      </c>
      <c r="F19" s="4">
        <f t="shared" si="1"/>
        <v>119100</v>
      </c>
      <c r="G19" s="4">
        <f>SUM(CashFlowData[[#This Row],[Cash In]]-CashFlowData[[#This Row],[Cash Out]])</f>
        <v>-6100</v>
      </c>
      <c r="H19" s="4">
        <f>SUM(CashFlowData[[#This Row],[Opening Balance]]+CashFlowData[[#This Row],[Net Cash Flow]])</f>
        <v>113000</v>
      </c>
      <c r="I19" s="3" t="str">
        <f t="shared" si="0"/>
        <v>OK</v>
      </c>
    </row>
    <row r="20" spans="1:9" x14ac:dyDescent="0.3">
      <c r="A20" s="2">
        <v>46161</v>
      </c>
      <c r="B20" s="3" t="s">
        <v>31</v>
      </c>
      <c r="C20" s="3" t="s">
        <v>22</v>
      </c>
      <c r="D20" s="4">
        <v>0</v>
      </c>
      <c r="E20" s="4">
        <v>750</v>
      </c>
      <c r="F20" s="4">
        <f t="shared" si="1"/>
        <v>113000</v>
      </c>
      <c r="G20" s="4">
        <f>SUM(CashFlowData[[#This Row],[Cash In]]-CashFlowData[[#This Row],[Cash Out]])</f>
        <v>-750</v>
      </c>
      <c r="H20" s="4">
        <f>SUM(CashFlowData[[#This Row],[Opening Balance]]+CashFlowData[[#This Row],[Net Cash Flow]])</f>
        <v>112250</v>
      </c>
      <c r="I20" s="3" t="str">
        <f t="shared" si="0"/>
        <v>OK</v>
      </c>
    </row>
    <row r="21" spans="1:9" x14ac:dyDescent="0.3">
      <c r="A21" s="2">
        <v>46162</v>
      </c>
      <c r="B21" s="3" t="s">
        <v>14</v>
      </c>
      <c r="C21" s="3" t="s">
        <v>11</v>
      </c>
      <c r="D21" s="4">
        <v>11000</v>
      </c>
      <c r="E21" s="4">
        <v>0</v>
      </c>
      <c r="F21" s="4">
        <f t="shared" si="1"/>
        <v>112250</v>
      </c>
      <c r="G21" s="4">
        <f>SUM(CashFlowData[[#This Row],[Cash In]]-CashFlowData[[#This Row],[Cash Out]])</f>
        <v>11000</v>
      </c>
      <c r="H21" s="4">
        <f>SUM(CashFlowData[[#This Row],[Opening Balance]]+CashFlowData[[#This Row],[Net Cash Flow]])</f>
        <v>123250</v>
      </c>
      <c r="I21" s="3" t="str">
        <f t="shared" si="0"/>
        <v>OK</v>
      </c>
    </row>
    <row r="22" spans="1:9" x14ac:dyDescent="0.3">
      <c r="A22" s="2">
        <v>46163</v>
      </c>
      <c r="B22" s="3" t="s">
        <v>15</v>
      </c>
      <c r="C22" s="3" t="s">
        <v>16</v>
      </c>
      <c r="D22" s="4">
        <v>0</v>
      </c>
      <c r="E22" s="4">
        <v>18000</v>
      </c>
      <c r="F22" s="4">
        <f t="shared" si="1"/>
        <v>123250</v>
      </c>
      <c r="G22" s="4">
        <f>SUM(CashFlowData[[#This Row],[Cash In]]-CashFlowData[[#This Row],[Cash Out]])</f>
        <v>-18000</v>
      </c>
      <c r="H22" s="4">
        <f>SUM(CashFlowData[[#This Row],[Opening Balance]]+CashFlowData[[#This Row],[Net Cash Flow]])</f>
        <v>105250</v>
      </c>
      <c r="I22" s="3" t="str">
        <f t="shared" si="0"/>
        <v>OK</v>
      </c>
    </row>
    <row r="23" spans="1:9" x14ac:dyDescent="0.3">
      <c r="A23" s="2">
        <v>46164</v>
      </c>
      <c r="B23" s="3" t="s">
        <v>20</v>
      </c>
      <c r="C23" s="3" t="s">
        <v>13</v>
      </c>
      <c r="D23" s="4">
        <v>0</v>
      </c>
      <c r="E23" s="4">
        <v>19000</v>
      </c>
      <c r="F23" s="4">
        <f t="shared" si="1"/>
        <v>105250</v>
      </c>
      <c r="G23" s="4">
        <f>SUM(CashFlowData[[#This Row],[Cash In]]-CashFlowData[[#This Row],[Cash Out]])</f>
        <v>-19000</v>
      </c>
      <c r="H23" s="4">
        <f>SUM(CashFlowData[[#This Row],[Opening Balance]]+CashFlowData[[#This Row],[Net Cash Flow]])</f>
        <v>86250</v>
      </c>
      <c r="I23" s="3" t="str">
        <f t="shared" si="0"/>
        <v>OK</v>
      </c>
    </row>
    <row r="24" spans="1:9" x14ac:dyDescent="0.3">
      <c r="A24" s="2">
        <v>46165</v>
      </c>
      <c r="B24" s="3" t="s">
        <v>32</v>
      </c>
      <c r="C24" s="3" t="s">
        <v>33</v>
      </c>
      <c r="D24" s="4">
        <v>0</v>
      </c>
      <c r="E24" s="4">
        <v>350</v>
      </c>
      <c r="F24" s="4">
        <f t="shared" si="1"/>
        <v>86250</v>
      </c>
      <c r="G24" s="4">
        <f>SUM(CashFlowData[[#This Row],[Cash In]]-CashFlowData[[#This Row],[Cash Out]])</f>
        <v>-350</v>
      </c>
      <c r="H24" s="4">
        <f>SUM(CashFlowData[[#This Row],[Opening Balance]]+CashFlowData[[#This Row],[Net Cash Flow]])</f>
        <v>85900</v>
      </c>
      <c r="I24" s="3" t="str">
        <f t="shared" si="0"/>
        <v>OK</v>
      </c>
    </row>
    <row r="25" spans="1:9" x14ac:dyDescent="0.3">
      <c r="A25" s="2">
        <v>46166</v>
      </c>
      <c r="B25" s="3" t="s">
        <v>19</v>
      </c>
      <c r="C25" s="3" t="s">
        <v>11</v>
      </c>
      <c r="D25" s="4">
        <v>14500</v>
      </c>
      <c r="E25" s="4">
        <v>0</v>
      </c>
      <c r="F25" s="4">
        <f t="shared" si="1"/>
        <v>85900</v>
      </c>
      <c r="G25" s="4">
        <f>SUM(CashFlowData[[#This Row],[Cash In]]-CashFlowData[[#This Row],[Cash Out]])</f>
        <v>14500</v>
      </c>
      <c r="H25" s="4">
        <f>SUM(CashFlowData[[#This Row],[Opening Balance]]+CashFlowData[[#This Row],[Net Cash Flow]])</f>
        <v>100400</v>
      </c>
      <c r="I25" s="3" t="str">
        <f t="shared" si="0"/>
        <v>OK</v>
      </c>
    </row>
    <row r="26" spans="1:9" x14ac:dyDescent="0.3">
      <c r="A26" s="2">
        <v>46167</v>
      </c>
      <c r="B26" s="3" t="s">
        <v>34</v>
      </c>
      <c r="C26" s="3" t="s">
        <v>24</v>
      </c>
      <c r="D26" s="4">
        <v>0</v>
      </c>
      <c r="E26" s="4">
        <v>4000</v>
      </c>
      <c r="F26" s="4">
        <f t="shared" si="1"/>
        <v>100400</v>
      </c>
      <c r="G26" s="4">
        <f>SUM(CashFlowData[[#This Row],[Cash In]]-CashFlowData[[#This Row],[Cash Out]])</f>
        <v>-4000</v>
      </c>
      <c r="H26" s="4">
        <f>SUM(CashFlowData[[#This Row],[Opening Balance]]+CashFlowData[[#This Row],[Net Cash Flow]])</f>
        <v>96400</v>
      </c>
      <c r="I26" s="3" t="str">
        <f t="shared" si="0"/>
        <v>OK</v>
      </c>
    </row>
    <row r="27" spans="1:9" x14ac:dyDescent="0.3">
      <c r="A27" s="2">
        <v>46168</v>
      </c>
      <c r="B27" s="3" t="s">
        <v>25</v>
      </c>
      <c r="C27" s="3" t="s">
        <v>11</v>
      </c>
      <c r="D27" s="4">
        <v>18000</v>
      </c>
      <c r="E27" s="4">
        <v>0</v>
      </c>
      <c r="F27" s="4">
        <f t="shared" si="1"/>
        <v>96400</v>
      </c>
      <c r="G27" s="4">
        <f>SUM(CashFlowData[[#This Row],[Cash In]]-CashFlowData[[#This Row],[Cash Out]])</f>
        <v>18000</v>
      </c>
      <c r="H27" s="4">
        <f>SUM(CashFlowData[[#This Row],[Opening Balance]]+CashFlowData[[#This Row],[Net Cash Flow]])</f>
        <v>114400</v>
      </c>
      <c r="I27" s="3" t="str">
        <f t="shared" si="0"/>
        <v>OK</v>
      </c>
    </row>
    <row r="28" spans="1:9" x14ac:dyDescent="0.3">
      <c r="A28" s="2">
        <v>46169</v>
      </c>
      <c r="B28" s="3" t="s">
        <v>28</v>
      </c>
      <c r="C28" s="3" t="s">
        <v>13</v>
      </c>
      <c r="D28" s="4">
        <v>0</v>
      </c>
      <c r="E28" s="4">
        <v>3900</v>
      </c>
      <c r="F28" s="4">
        <f t="shared" si="1"/>
        <v>114400</v>
      </c>
      <c r="G28" s="4">
        <f>SUM(CashFlowData[[#This Row],[Cash In]]-CashFlowData[[#This Row],[Cash Out]])</f>
        <v>-3900</v>
      </c>
      <c r="H28" s="4">
        <f>SUM(CashFlowData[[#This Row],[Opening Balance]]+CashFlowData[[#This Row],[Net Cash Flow]])</f>
        <v>110500</v>
      </c>
      <c r="I28" s="3" t="str">
        <f t="shared" si="0"/>
        <v>OK</v>
      </c>
    </row>
    <row r="29" spans="1:9" x14ac:dyDescent="0.3">
      <c r="A29" s="2">
        <v>46170</v>
      </c>
      <c r="B29" s="3" t="s">
        <v>21</v>
      </c>
      <c r="C29" s="3" t="s">
        <v>22</v>
      </c>
      <c r="D29" s="4">
        <v>0</v>
      </c>
      <c r="E29" s="4">
        <v>1700</v>
      </c>
      <c r="F29" s="4">
        <f t="shared" si="1"/>
        <v>110500</v>
      </c>
      <c r="G29" s="4">
        <f>SUM(CashFlowData[[#This Row],[Cash In]]-CashFlowData[[#This Row],[Cash Out]])</f>
        <v>-1700</v>
      </c>
      <c r="H29" s="4">
        <f>SUM(CashFlowData[[#This Row],[Opening Balance]]+CashFlowData[[#This Row],[Net Cash Flow]])</f>
        <v>108800</v>
      </c>
      <c r="I29" s="3" t="str">
        <f t="shared" si="0"/>
        <v>OK</v>
      </c>
    </row>
    <row r="30" spans="1:9" x14ac:dyDescent="0.3">
      <c r="A30" s="2">
        <v>46171</v>
      </c>
      <c r="B30" s="3" t="s">
        <v>10</v>
      </c>
      <c r="C30" s="3" t="s">
        <v>11</v>
      </c>
      <c r="D30" s="4">
        <v>9300</v>
      </c>
      <c r="E30" s="4">
        <v>0</v>
      </c>
      <c r="F30" s="4">
        <f t="shared" si="1"/>
        <v>108800</v>
      </c>
      <c r="G30" s="4">
        <f>SUM(CashFlowData[[#This Row],[Cash In]]-CashFlowData[[#This Row],[Cash Out]])</f>
        <v>9300</v>
      </c>
      <c r="H30" s="4">
        <f>SUM(CashFlowData[[#This Row],[Opening Balance]]+CashFlowData[[#This Row],[Net Cash Flow]])</f>
        <v>118100</v>
      </c>
      <c r="I30" s="3" t="str">
        <f t="shared" si="0"/>
        <v>OK</v>
      </c>
    </row>
    <row r="31" spans="1:9" x14ac:dyDescent="0.3">
      <c r="A31" s="2">
        <v>46172</v>
      </c>
      <c r="B31" s="3" t="s">
        <v>35</v>
      </c>
      <c r="C31" s="3" t="s">
        <v>13</v>
      </c>
      <c r="D31" s="4">
        <v>0</v>
      </c>
      <c r="E31" s="4">
        <v>16000</v>
      </c>
      <c r="F31" s="4">
        <f t="shared" si="1"/>
        <v>118100</v>
      </c>
      <c r="G31" s="4">
        <f>SUM(CashFlowData[[#This Row],[Cash In]]-CashFlowData[[#This Row],[Cash Out]])</f>
        <v>-16000</v>
      </c>
      <c r="H31" s="4">
        <f>SUM(CashFlowData[[#This Row],[Opening Balance]]+CashFlowData[[#This Row],[Net Cash Flow]])</f>
        <v>102100</v>
      </c>
      <c r="I31" s="3" t="str">
        <f t="shared" si="0"/>
        <v>OK</v>
      </c>
    </row>
  </sheetData>
  <conditionalFormatting sqref="H2:H31">
    <cfRule type="cellIs" dxfId="2" priority="1" operator="lessThan">
      <formula>0</formula>
    </cfRule>
    <cfRule type="cellIs" dxfId="1" priority="2" operator="between">
      <formula>0</formula>
      <formula>15000</formula>
    </cfRule>
    <cfRule type="cellIs" dxfId="0" priority="3" operator="greaterThan">
      <formula>15000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F833-EAA5-45A1-8D50-6A60AB69CB25}">
  <dimension ref="A1:I11"/>
  <sheetViews>
    <sheetView workbookViewId="0">
      <selection activeCell="A17" sqref="A17"/>
    </sheetView>
  </sheetViews>
  <sheetFormatPr defaultRowHeight="14.4" x14ac:dyDescent="0.3"/>
  <cols>
    <col min="1" max="1" width="21.6640625" bestFit="1" customWidth="1"/>
    <col min="2" max="2" width="14.44140625" bestFit="1" customWidth="1"/>
    <col min="3" max="3" width="16.44140625" bestFit="1" customWidth="1"/>
    <col min="4" max="4" width="22.21875" bestFit="1" customWidth="1"/>
    <col min="5" max="8" width="22.33203125" bestFit="1" customWidth="1"/>
    <col min="9" max="9" width="19.44140625" bestFit="1" customWidth="1"/>
    <col min="10" max="10" width="15.33203125" bestFit="1" customWidth="1"/>
    <col min="11" max="13" width="6.5546875" bestFit="1" customWidth="1"/>
    <col min="14" max="14" width="26.88671875" bestFit="1" customWidth="1"/>
    <col min="15" max="15" width="8.77734375" bestFit="1" customWidth="1"/>
    <col min="16" max="16" width="15.88671875" bestFit="1" customWidth="1"/>
    <col min="17" max="17" width="12.77734375" bestFit="1" customWidth="1"/>
    <col min="18" max="18" width="20" bestFit="1" customWidth="1"/>
    <col min="19" max="19" width="10.6640625" bestFit="1" customWidth="1"/>
    <col min="20" max="22" width="6.5546875" bestFit="1" customWidth="1"/>
    <col min="23" max="25" width="7.5546875" bestFit="1" customWidth="1"/>
    <col min="26" max="26" width="17.88671875" bestFit="1" customWidth="1"/>
    <col min="27" max="27" width="7.6640625" bestFit="1" customWidth="1"/>
    <col min="28" max="28" width="6.5546875" bestFit="1" customWidth="1"/>
    <col min="29" max="29" width="14.77734375" bestFit="1" customWidth="1"/>
    <col min="30" max="30" width="15.33203125" bestFit="1" customWidth="1"/>
    <col min="31" max="31" width="10.77734375" bestFit="1" customWidth="1"/>
    <col min="32" max="32" width="15.33203125" bestFit="1" customWidth="1"/>
  </cols>
  <sheetData>
    <row r="1" spans="1:9" ht="25.8" x14ac:dyDescent="0.5">
      <c r="A1" s="5" t="s">
        <v>43</v>
      </c>
    </row>
    <row r="3" spans="1:9" s="13" customFormat="1" ht="18" x14ac:dyDescent="0.35">
      <c r="A3" s="12" t="s">
        <v>2</v>
      </c>
      <c r="B3" s="13" t="s">
        <v>37</v>
      </c>
      <c r="C3" s="13" t="s">
        <v>38</v>
      </c>
      <c r="D3" s="13" t="s">
        <v>50</v>
      </c>
      <c r="E3"/>
      <c r="F3"/>
      <c r="G3"/>
      <c r="H3"/>
      <c r="I3"/>
    </row>
    <row r="4" spans="1:9" s="13" customFormat="1" ht="18" x14ac:dyDescent="0.35">
      <c r="A4" s="13" t="s">
        <v>11</v>
      </c>
      <c r="B4" s="14">
        <v>121700</v>
      </c>
      <c r="C4" s="14">
        <v>0</v>
      </c>
      <c r="D4" s="14">
        <v>121700</v>
      </c>
      <c r="E4"/>
      <c r="F4"/>
      <c r="G4"/>
      <c r="H4"/>
      <c r="I4"/>
    </row>
    <row r="5" spans="1:9" s="13" customFormat="1" ht="18" x14ac:dyDescent="0.35">
      <c r="A5" s="13" t="s">
        <v>13</v>
      </c>
      <c r="B5" s="14">
        <v>0</v>
      </c>
      <c r="C5" s="14">
        <v>78400</v>
      </c>
      <c r="D5" s="14">
        <v>-78400</v>
      </c>
      <c r="E5"/>
      <c r="F5"/>
      <c r="G5"/>
      <c r="H5"/>
      <c r="I5"/>
    </row>
    <row r="6" spans="1:9" s="13" customFormat="1" ht="18" x14ac:dyDescent="0.35">
      <c r="A6" s="13" t="s">
        <v>33</v>
      </c>
      <c r="B6" s="14">
        <v>0</v>
      </c>
      <c r="C6" s="14">
        <v>350</v>
      </c>
      <c r="D6" s="14">
        <v>-350</v>
      </c>
      <c r="E6"/>
      <c r="F6"/>
      <c r="G6"/>
      <c r="H6"/>
      <c r="I6"/>
    </row>
    <row r="7" spans="1:9" s="13" customFormat="1" ht="18" x14ac:dyDescent="0.35">
      <c r="A7" s="13" t="s">
        <v>18</v>
      </c>
      <c r="B7" s="14">
        <v>0</v>
      </c>
      <c r="C7" s="14">
        <v>3500</v>
      </c>
      <c r="D7" s="14">
        <v>-3500</v>
      </c>
      <c r="E7"/>
      <c r="F7"/>
      <c r="G7"/>
      <c r="H7"/>
      <c r="I7"/>
    </row>
    <row r="8" spans="1:9" s="13" customFormat="1" ht="18" x14ac:dyDescent="0.35">
      <c r="A8" s="13" t="s">
        <v>24</v>
      </c>
      <c r="B8" s="14">
        <v>0</v>
      </c>
      <c r="C8" s="14">
        <v>10500</v>
      </c>
      <c r="D8" s="14">
        <v>-10500</v>
      </c>
    </row>
    <row r="9" spans="1:9" s="13" customFormat="1" ht="18" x14ac:dyDescent="0.35">
      <c r="A9" s="13" t="s">
        <v>22</v>
      </c>
      <c r="B9" s="14">
        <v>0</v>
      </c>
      <c r="C9" s="14">
        <v>10850</v>
      </c>
      <c r="D9" s="14">
        <v>-10850</v>
      </c>
    </row>
    <row r="10" spans="1:9" s="13" customFormat="1" ht="18" x14ac:dyDescent="0.35">
      <c r="A10" s="13" t="s">
        <v>16</v>
      </c>
      <c r="B10" s="14">
        <v>0</v>
      </c>
      <c r="C10" s="14">
        <v>36000</v>
      </c>
      <c r="D10" s="14">
        <v>-36000</v>
      </c>
    </row>
    <row r="11" spans="1:9" s="13" customFormat="1" ht="18" x14ac:dyDescent="0.35">
      <c r="A11"/>
      <c r="B11"/>
      <c r="C11"/>
      <c r="D11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>
      <selection activeCell="A10" sqref="A10"/>
    </sheetView>
  </sheetViews>
  <sheetFormatPr defaultRowHeight="14.4" x14ac:dyDescent="0.3"/>
  <cols>
    <col min="1" max="1" width="18.5546875" customWidth="1"/>
    <col min="2" max="2" width="16" customWidth="1"/>
    <col min="3" max="3" width="17" customWidth="1"/>
    <col min="4" max="15" width="16" customWidth="1"/>
  </cols>
  <sheetData>
    <row r="1" spans="1:8" ht="25.8" x14ac:dyDescent="0.5">
      <c r="A1" s="5" t="s">
        <v>36</v>
      </c>
    </row>
    <row r="3" spans="1:8" x14ac:dyDescent="0.3">
      <c r="A3" s="1" t="s">
        <v>37</v>
      </c>
      <c r="B3" s="6"/>
      <c r="C3" s="1" t="s">
        <v>38</v>
      </c>
      <c r="D3" s="6"/>
      <c r="E3" s="1" t="s">
        <v>39</v>
      </c>
      <c r="F3" s="6"/>
      <c r="G3" s="1" t="s">
        <v>40</v>
      </c>
      <c r="H3" s="6"/>
    </row>
    <row r="4" spans="1:8" ht="18" x14ac:dyDescent="0.35">
      <c r="A4" s="7">
        <f>SUM(CashFlowData[Cash In])</f>
        <v>181700</v>
      </c>
      <c r="B4" s="6"/>
      <c r="C4" s="7">
        <f>SUM(CashFlowData[Cash Out])</f>
        <v>139600</v>
      </c>
      <c r="D4" s="6"/>
      <c r="E4" s="7" cm="1">
        <f t="array" ref="E4">_xlfn.TAKE(CashFlowData[Closing Balance],-1)</f>
        <v>102100</v>
      </c>
      <c r="F4" s="6"/>
      <c r="G4" s="7">
        <f>MIN(CashFlowData[Closing Balance])</f>
        <v>85900</v>
      </c>
      <c r="H4" s="6"/>
    </row>
    <row r="6" spans="1:8" x14ac:dyDescent="0.3">
      <c r="A6" s="1" t="s">
        <v>41</v>
      </c>
      <c r="B6" s="6"/>
      <c r="C6" s="1" t="s">
        <v>42</v>
      </c>
      <c r="D6" s="6"/>
      <c r="E6" s="1" t="s">
        <v>6</v>
      </c>
      <c r="F6" s="6"/>
    </row>
    <row r="7" spans="1:8" ht="18" x14ac:dyDescent="0.35">
      <c r="A7" s="8">
        <f>COUNTIF(CashFlowData[Status],"Cash Gap")</f>
        <v>0</v>
      </c>
      <c r="B7" s="6"/>
      <c r="C7" s="8">
        <f>COUNTIF(CashFlowData[Status],"Low Liquidity")</f>
        <v>0</v>
      </c>
      <c r="D7" s="6"/>
      <c r="E7" s="7">
        <f>SUM(CashFlowData[Net Cash Flow])</f>
        <v>42100</v>
      </c>
      <c r="F7" s="6"/>
    </row>
    <row r="10" spans="1:8" ht="18" x14ac:dyDescent="0.35">
      <c r="A10" s="9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>
      <selection activeCell="C7" sqref="C7"/>
    </sheetView>
  </sheetViews>
  <sheetFormatPr defaultRowHeight="14.4" x14ac:dyDescent="0.3"/>
  <cols>
    <col min="1" max="2" width="35" customWidth="1"/>
  </cols>
  <sheetData>
    <row r="1" spans="1:2" ht="21" x14ac:dyDescent="0.4">
      <c r="A1" s="10" t="s">
        <v>44</v>
      </c>
    </row>
    <row r="3" spans="1:2" x14ac:dyDescent="0.3">
      <c r="A3" t="s">
        <v>45</v>
      </c>
      <c r="B3" t="s">
        <v>46</v>
      </c>
    </row>
    <row r="5" spans="1:2" x14ac:dyDescent="0.3">
      <c r="A5" t="s">
        <v>47</v>
      </c>
      <c r="B5" t="s">
        <v>48</v>
      </c>
    </row>
    <row r="7" spans="1:2" ht="57.6" x14ac:dyDescent="0.3">
      <c r="B7" s="1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Cash Flow Data</vt:lpstr>
      <vt:lpstr>Pivots</vt:lpstr>
      <vt:lpstr>Dashboard</vt:lpstr>
      <vt:lpstr>Project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Χριστίνα Μπουρουντζή</cp:lastModifiedBy>
  <dcterms:created xsi:type="dcterms:W3CDTF">2026-04-24T20:30:54Z</dcterms:created>
  <dcterms:modified xsi:type="dcterms:W3CDTF">2026-04-27T17:19:51Z</dcterms:modified>
</cp:coreProperties>
</file>